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os" sheetId="1" r:id="rId5"/>
    <sheet state="visible" name="Dias e Horas por Mês" sheetId="2" r:id="rId6"/>
    <sheet state="visible" name="Trimestres" sheetId="3" r:id="rId7"/>
  </sheets>
  <definedNames/>
  <calcPr/>
</workbook>
</file>

<file path=xl/sharedStrings.xml><?xml version="1.0" encoding="utf-8"?>
<sst xmlns="http://schemas.openxmlformats.org/spreadsheetml/2006/main" count="279" uniqueCount="123">
  <si>
    <t>Mês</t>
  </si>
  <si>
    <t>Trimestre</t>
  </si>
  <si>
    <t>Dias Letivos</t>
  </si>
  <si>
    <t>Horas Letivas</t>
  </si>
  <si>
    <t>Janeiro</t>
  </si>
  <si>
    <t>Data</t>
  </si>
  <si>
    <t>Evento / Descrição</t>
  </si>
  <si>
    <t>Data de Início</t>
  </si>
  <si>
    <t>Data de Término</t>
  </si>
  <si>
    <t>Fevereiro</t>
  </si>
  <si>
    <t>Detalhamento</t>
  </si>
  <si>
    <t>Total Dias</t>
  </si>
  <si>
    <t>Março</t>
  </si>
  <si>
    <t>Total Horas</t>
  </si>
  <si>
    <t>Abril</t>
  </si>
  <si>
    <t>1º Trimestre</t>
  </si>
  <si>
    <t>Maio</t>
  </si>
  <si>
    <t>Junho</t>
  </si>
  <si>
    <t>Julho</t>
  </si>
  <si>
    <t>Agosto</t>
  </si>
  <si>
    <t>Ano Novo.</t>
  </si>
  <si>
    <t>Fevereiro: 11 dias, 44 h
Março: 22 dias, 88 h
Abril: 20 dias, 80 h
Maio: 15 dias, 60 h</t>
  </si>
  <si>
    <t>Setembro</t>
  </si>
  <si>
    <t>05 a 30/01/2026</t>
  </si>
  <si>
    <t>Outubro</t>
  </si>
  <si>
    <t>Plantão de férias da Educação Infantil.</t>
  </si>
  <si>
    <t>2º Trimestre</t>
  </si>
  <si>
    <t>Novembro</t>
  </si>
  <si>
    <t>Dezembro</t>
  </si>
  <si>
    <t>Maio: 04 dias, 16 h
Junho: 20 dias, 80 h
Julho: 18 dias, 72 h
Agosto: 21 dias, 84 h
Setembro: 04 dias, 16 h</t>
  </si>
  <si>
    <t>Retorno de diretores e secretários às unidades de ensino, após o período de férias de 30 dias.</t>
  </si>
  <si>
    <t>Total Anual</t>
  </si>
  <si>
    <t>3º Trimestre</t>
  </si>
  <si>
    <t>Reunião pedagógica com diretores de unidades de ensino.</t>
  </si>
  <si>
    <t>Reunião administrativa com diretores de unidades de ensino.</t>
  </si>
  <si>
    <t>Reunião administrativa com os secretários de unidades de ensino.</t>
  </si>
  <si>
    <t>Setembro: 16 dias, 64 h
Outubro: 19 dias, 76 h
Novembro: 19 dias, 76 h
Dezembro: 11 dias, 44 h</t>
  </si>
  <si>
    <t>Retorno dos profissionais da educação e organização dos espaços nas unidades de ensino.</t>
  </si>
  <si>
    <t>05 a 10/02/2026</t>
  </si>
  <si>
    <t>Formação Continuada, reunião e planejamento administrativo e pedagógico.</t>
  </si>
  <si>
    <t>Formação (igreja reviver).</t>
  </si>
  <si>
    <t>Formação (secretaria municipal de educação).</t>
  </si>
  <si>
    <t>Início das aulas / Início do 1º Trimestre.</t>
  </si>
  <si>
    <t>11 a 27/02/2026</t>
  </si>
  <si>
    <t>Período de acolhimento e diagnóstico do desenvolvimento e da aprendizagem.</t>
  </si>
  <si>
    <t>Emenda de feriado – (não haverá aula).</t>
  </si>
  <si>
    <t>Feriado: Carnaval – (não haverá aula).</t>
  </si>
  <si>
    <t>Reunião de pais (1º e 2º ano). Horário: 18:30 às 20:00 horas.</t>
  </si>
  <si>
    <t>Reunião de pais (3º, 4º e 5º ano). Horário: 18:30 às 20:00 horas.</t>
  </si>
  <si>
    <t>Homenagem cívica (primeira aula).</t>
  </si>
  <si>
    <t>Reunião de pais (6º ao 8º ano). Horário: 18:30 às 20:00 horas.</t>
  </si>
  <si>
    <t>02, 11, 19 e 27/03/2026</t>
  </si>
  <si>
    <t>Parada para leitura. 30 Minutos (Primeira aula, todas as turmas).</t>
  </si>
  <si>
    <t>03, 10, 17, 24 e 31/03/2026</t>
  </si>
  <si>
    <t>Reunião administrativa (direção, supervisão e orientação) (matutino).</t>
  </si>
  <si>
    <t>Reunião APP (Horário 17:30).</t>
  </si>
  <si>
    <t>Pesquisa – Projeto LAB-PROA - UNIVALI.</t>
  </si>
  <si>
    <t>Prazo para início do processo de reclassificação em atendimento à Resolução do COMED nº 006/2022.</t>
  </si>
  <si>
    <t>Reunião de pais (Alunos reprovados).</t>
  </si>
  <si>
    <t>Data final para o envio das provas da Apreensão conceitual para impressão.</t>
  </si>
  <si>
    <t>02, 10, 13, 22 e 30/04/2026</t>
  </si>
  <si>
    <t>Feriado: Sexta-Feira Santa – (não haverá aula).</t>
  </si>
  <si>
    <t>07, 14 e 28/04/2026</t>
  </si>
  <si>
    <t>Final do processo de reclassificação em atendimento à Resolução do COMED nº 006/2022.</t>
  </si>
  <si>
    <t>Comemoração aniversário Pedro Rizzi / Dia 18 – Dia Nacional da Literatura infantil.</t>
  </si>
  <si>
    <t>Envio das questões da prova trimestral no drive.</t>
  </si>
  <si>
    <t>Feriado: Tiradentes – (não haverá aula).</t>
  </si>
  <si>
    <t>Feriado: Dia do Trabalhador – (não haverá aula).</t>
  </si>
  <si>
    <t>04, 13, 21 e 29/05/2026</t>
  </si>
  <si>
    <t>05, 12, 19 e 26/05/2026</t>
  </si>
  <si>
    <t>Avaliação Trimestral.</t>
  </si>
  <si>
    <t>Festa família Pedro Rizzi.</t>
  </si>
  <si>
    <t>11 a 22/05/2026</t>
  </si>
  <si>
    <t>Pré conselho do 1º trimestre.</t>
  </si>
  <si>
    <t>Projeto LAB-PROA - UNIVALI.</t>
  </si>
  <si>
    <t>Término do 1º Trimestre.</t>
  </si>
  <si>
    <t>Ensino Fundamental: 1º conselho de classe / Educação Infantil, Educação Integral, CEMESPI e Banda Filarmônica: Reunião pedagógica e Formação continuada - (não haverá aula).</t>
  </si>
  <si>
    <t>Início do 2º Trimestre.</t>
  </si>
  <si>
    <t>01, 11, 17 e 26/06/2026</t>
  </si>
  <si>
    <t>02, 09, 16, 23 e 30/06/2026</t>
  </si>
  <si>
    <t>Feriado: Corpus Christi – (não haverá aula).</t>
  </si>
  <si>
    <t>Entrega de boletins (noturno).</t>
  </si>
  <si>
    <t>Festa Julina (período noturno).</t>
  </si>
  <si>
    <t>Feriado: Aniversário de Itajaí – (não haverá aula).</t>
  </si>
  <si>
    <t>03, 06 e 15/07/2026</t>
  </si>
  <si>
    <t>07, 14 e 21/07/2026</t>
  </si>
  <si>
    <t>20 a 24/07/2026</t>
  </si>
  <si>
    <t>Interclasse – Anos finais (inscrições e premiação).</t>
  </si>
  <si>
    <t>27 a 31/07/2026</t>
  </si>
  <si>
    <t>Recesso escolar – (não haverá aula).</t>
  </si>
  <si>
    <t>03, 13, 21 e 26/08/2026</t>
  </si>
  <si>
    <t>04, 11, 18 e 25/08/2026</t>
  </si>
  <si>
    <t>17 a 28/08/2026</t>
  </si>
  <si>
    <t>Pré conselho do 2º trimestre.</t>
  </si>
  <si>
    <t>01, 15, 22 e 29/09/2026</t>
  </si>
  <si>
    <t>Parada para leitura. 30 Minutos / Término do 2º Trimestre.</t>
  </si>
  <si>
    <t>Feriado: Independência do Brasil – Desfile Cívico – (não haverá aula).</t>
  </si>
  <si>
    <t>Ensino Fundamental: 2º conselho de classe / Educação Infantil, Educação Integral, CEMESPI e Banda Filarmônica: Reunião pedagógica e Formação continuada – (não haverá aula).</t>
  </si>
  <si>
    <t>Início do 3º Trimestre.</t>
  </si>
  <si>
    <t>09, 17 e 25/09/2026</t>
  </si>
  <si>
    <t>Parada para leitura. 30 Minutos.</t>
  </si>
  <si>
    <t>01, 05, 14, 22 e 30/10/2026</t>
  </si>
  <si>
    <t>06, 20 e 27/10/2026</t>
  </si>
  <si>
    <t>Feira do conhecimento (Noturno).</t>
  </si>
  <si>
    <t>Feriado: Padroeira do Brasil / Dia da Criança – (não haverá aula).</t>
  </si>
  <si>
    <t>Antecipação do Dia do Professor – (não haverá aula).</t>
  </si>
  <si>
    <t>21 a 23/10/2026</t>
  </si>
  <si>
    <t>Interclasse – Anos iniciais.</t>
  </si>
  <si>
    <t>Ponto facultativo: Dia do Servidor Público – (não haverá aula).</t>
  </si>
  <si>
    <t>Feriado: Finados – (não haverá aula).</t>
  </si>
  <si>
    <t>03, 10, 17 e 24/11/2026</t>
  </si>
  <si>
    <t>05, 13, 16 e 27/11/2026</t>
  </si>
  <si>
    <t>16 a 27/11/2026</t>
  </si>
  <si>
    <t>Pré conselho do 3º trimestre.</t>
  </si>
  <si>
    <t>Feriado: Dia da Consciência Negra – (não haverá aula).</t>
  </si>
  <si>
    <t>Natal Luz.</t>
  </si>
  <si>
    <t>Entrega de boletins. Resultado para os alunos que passaram sem exame.</t>
  </si>
  <si>
    <t>Último dia letivo / Término do 3º Trimestre.</t>
  </si>
  <si>
    <t>16 e 17/12/2026</t>
  </si>
  <si>
    <t>4ª Avaliação.</t>
  </si>
  <si>
    <t>Entrega de boletins. Resultado – Alunos em exame.</t>
  </si>
  <si>
    <t>Conselho Final da 4ª Avaliação e encerramento das atividades de 2026 nas unidades de ensino.</t>
  </si>
  <si>
    <t>Início do período de férias dos diretores e secretários das unidades de ensino.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</si>
</sst>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Trimestres-style">
      <tableStyleElement dxfId="1" type="firstRowStripe"/>
      <tableStyleElement dxfId="2" type="secondRowStripe"/>
    </tableStyle>
    <tableStyle count="2" pivot="0" name="Eventos-style">
      <tableStyleElement dxfId="1" type="firstRowStripe"/>
      <tableStyleElement dxfId="2" type="secondRowStripe"/>
    </tableStyle>
    <tableStyle count="2" pivot="0" name="Dias e Horas por Mê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106" displayName="Table_3" name="Table_3" id="3">
  <tableColumns count="3">
    <tableColumn name="Column1" id="1"/>
    <tableColumn name="Column2" id="2"/>
    <tableColumn name="Column3" id="3"/>
  </tableColumns>
  <tableStyleInfo name="Evento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C14" displayName="Table_1" name="Table_1" id="2">
  <tableColumns count="3">
    <tableColumn name="Column1" id="1"/>
    <tableColumn name="Column2" id="2"/>
    <tableColumn name="Column3" id="3"/>
  </tableColumns>
  <tableStyleInfo name="Dias e Horas por Mês-style" showColumnStripes="0" showFirstColumn="1" showLastColumn="1" showRowStripes="1"/>
</table>
</file>

<file path=xl/tables/table3.xml><?xml version="1.0" encoding="utf-8"?>
<table xmlns="http://schemas.openxmlformats.org/spreadsheetml/2006/main" headerRowCount="0" ref="A2:F5" displayName="Table_2" name="Table_2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rimest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20.75"/>
    <col customWidth="1" min="3" max="3" width="130.5"/>
  </cols>
  <sheetData>
    <row r="1">
      <c r="A1" s="1" t="s">
        <v>0</v>
      </c>
      <c r="B1" s="1" t="s">
        <v>5</v>
      </c>
      <c r="C1" s="1" t="s">
        <v>6</v>
      </c>
    </row>
    <row r="2">
      <c r="A2" s="2" t="s">
        <v>4</v>
      </c>
      <c r="B2" s="4">
        <v>46023.0</v>
      </c>
      <c r="C2" s="2" t="s">
        <v>20</v>
      </c>
    </row>
    <row r="3">
      <c r="A3" s="2" t="s">
        <v>4</v>
      </c>
      <c r="B3" s="2" t="s">
        <v>23</v>
      </c>
      <c r="C3" s="2" t="s">
        <v>25</v>
      </c>
    </row>
    <row r="4">
      <c r="A4" s="2" t="s">
        <v>4</v>
      </c>
      <c r="B4" s="4">
        <v>46043.0</v>
      </c>
      <c r="C4" s="2" t="s">
        <v>30</v>
      </c>
    </row>
    <row r="5">
      <c r="A5" s="2" t="s">
        <v>4</v>
      </c>
      <c r="B5" s="4">
        <v>46050.0</v>
      </c>
      <c r="C5" s="2" t="s">
        <v>33</v>
      </c>
    </row>
    <row r="6">
      <c r="A6" s="2" t="s">
        <v>4</v>
      </c>
      <c r="B6" s="4">
        <v>46051.0</v>
      </c>
      <c r="C6" s="2" t="s">
        <v>34</v>
      </c>
    </row>
    <row r="7">
      <c r="A7" s="2" t="s">
        <v>4</v>
      </c>
      <c r="B7" s="4">
        <v>46052.0</v>
      </c>
      <c r="C7" s="2" t="s">
        <v>35</v>
      </c>
    </row>
    <row r="8">
      <c r="A8" s="2" t="s">
        <v>9</v>
      </c>
      <c r="B8" s="4">
        <v>46057.0</v>
      </c>
      <c r="C8" s="2" t="s">
        <v>37</v>
      </c>
    </row>
    <row r="9">
      <c r="A9" s="2" t="s">
        <v>9</v>
      </c>
      <c r="B9" s="2" t="s">
        <v>38</v>
      </c>
      <c r="C9" s="2" t="s">
        <v>39</v>
      </c>
    </row>
    <row r="10">
      <c r="A10" s="2" t="s">
        <v>9</v>
      </c>
      <c r="B10" s="4">
        <v>46058.0</v>
      </c>
      <c r="C10" s="2" t="s">
        <v>40</v>
      </c>
    </row>
    <row r="11">
      <c r="A11" s="2" t="s">
        <v>9</v>
      </c>
      <c r="B11" s="4">
        <v>46059.0</v>
      </c>
      <c r="C11" s="2" t="s">
        <v>41</v>
      </c>
    </row>
    <row r="12">
      <c r="A12" s="2" t="s">
        <v>9</v>
      </c>
      <c r="B12" s="4">
        <v>46064.0</v>
      </c>
      <c r="C12" s="2" t="s">
        <v>42</v>
      </c>
    </row>
    <row r="13">
      <c r="A13" s="2" t="s">
        <v>9</v>
      </c>
      <c r="B13" s="2" t="s">
        <v>43</v>
      </c>
      <c r="C13" s="2" t="s">
        <v>44</v>
      </c>
    </row>
    <row r="14">
      <c r="A14" s="2" t="s">
        <v>9</v>
      </c>
      <c r="B14" s="4">
        <v>46069.0</v>
      </c>
      <c r="C14" s="2" t="s">
        <v>45</v>
      </c>
    </row>
    <row r="15">
      <c r="A15" s="2" t="s">
        <v>9</v>
      </c>
      <c r="B15" s="4">
        <v>46070.0</v>
      </c>
      <c r="C15" s="2" t="s">
        <v>46</v>
      </c>
    </row>
    <row r="16">
      <c r="A16" s="2" t="s">
        <v>9</v>
      </c>
      <c r="B16" s="4">
        <v>46076.0</v>
      </c>
      <c r="C16" s="2" t="s">
        <v>47</v>
      </c>
    </row>
    <row r="17">
      <c r="A17" s="2" t="s">
        <v>9</v>
      </c>
      <c r="B17" s="4">
        <v>46077.0</v>
      </c>
      <c r="C17" s="2" t="s">
        <v>48</v>
      </c>
    </row>
    <row r="18">
      <c r="A18" s="2" t="s">
        <v>9</v>
      </c>
      <c r="B18" s="4">
        <v>46077.0</v>
      </c>
      <c r="C18" s="2" t="s">
        <v>49</v>
      </c>
    </row>
    <row r="19">
      <c r="A19" s="2" t="s">
        <v>9</v>
      </c>
      <c r="B19" s="4">
        <v>46078.0</v>
      </c>
      <c r="C19" s="2" t="s">
        <v>50</v>
      </c>
    </row>
    <row r="20">
      <c r="A20" s="2" t="s">
        <v>12</v>
      </c>
      <c r="B20" s="2" t="s">
        <v>51</v>
      </c>
      <c r="C20" s="2" t="s">
        <v>52</v>
      </c>
    </row>
    <row r="21">
      <c r="A21" s="2" t="s">
        <v>12</v>
      </c>
      <c r="B21" s="2" t="s">
        <v>53</v>
      </c>
      <c r="C21" s="2" t="s">
        <v>54</v>
      </c>
    </row>
    <row r="22">
      <c r="A22" s="2" t="s">
        <v>12</v>
      </c>
      <c r="B22" s="2" t="s">
        <v>53</v>
      </c>
      <c r="C22" s="2" t="s">
        <v>49</v>
      </c>
    </row>
    <row r="23">
      <c r="A23" s="2" t="s">
        <v>12</v>
      </c>
      <c r="B23" s="4">
        <v>46091.0</v>
      </c>
      <c r="C23" s="2" t="s">
        <v>55</v>
      </c>
    </row>
    <row r="24">
      <c r="A24" s="2" t="s">
        <v>12</v>
      </c>
      <c r="B24" s="4">
        <v>46093.0</v>
      </c>
      <c r="C24" s="2" t="s">
        <v>56</v>
      </c>
    </row>
    <row r="25">
      <c r="A25" s="2" t="s">
        <v>12</v>
      </c>
      <c r="B25" s="4">
        <v>46108.0</v>
      </c>
      <c r="C25" s="2" t="s">
        <v>57</v>
      </c>
    </row>
    <row r="26">
      <c r="A26" s="2" t="s">
        <v>12</v>
      </c>
      <c r="B26" s="4">
        <v>46108.0</v>
      </c>
      <c r="C26" s="2" t="s">
        <v>58</v>
      </c>
    </row>
    <row r="27">
      <c r="A27" s="2" t="s">
        <v>12</v>
      </c>
      <c r="B27" s="4">
        <v>46108.0</v>
      </c>
      <c r="C27" s="2" t="s">
        <v>59</v>
      </c>
    </row>
    <row r="28">
      <c r="A28" s="2" t="s">
        <v>14</v>
      </c>
      <c r="B28" s="2" t="s">
        <v>60</v>
      </c>
      <c r="C28" s="2" t="s">
        <v>52</v>
      </c>
    </row>
    <row r="29">
      <c r="A29" s="2" t="s">
        <v>14</v>
      </c>
      <c r="B29" s="4">
        <v>46115.0</v>
      </c>
      <c r="C29" s="2" t="s">
        <v>61</v>
      </c>
    </row>
    <row r="30">
      <c r="A30" s="2" t="s">
        <v>14</v>
      </c>
      <c r="B30" s="2" t="s">
        <v>62</v>
      </c>
      <c r="C30" s="2" t="s">
        <v>49</v>
      </c>
    </row>
    <row r="31">
      <c r="A31" s="2" t="s">
        <v>14</v>
      </c>
      <c r="B31" s="2" t="s">
        <v>62</v>
      </c>
      <c r="C31" s="2" t="s">
        <v>54</v>
      </c>
    </row>
    <row r="32">
      <c r="A32" s="2" t="s">
        <v>14</v>
      </c>
      <c r="B32" s="4">
        <v>46119.0</v>
      </c>
      <c r="C32" s="2" t="s">
        <v>55</v>
      </c>
    </row>
    <row r="33">
      <c r="A33" s="2" t="s">
        <v>14</v>
      </c>
      <c r="B33" s="4">
        <v>46122.0</v>
      </c>
      <c r="C33" s="2" t="s">
        <v>63</v>
      </c>
    </row>
    <row r="34">
      <c r="A34" s="2" t="s">
        <v>14</v>
      </c>
      <c r="B34" s="4">
        <v>46128.0</v>
      </c>
      <c r="C34" s="2" t="s">
        <v>64</v>
      </c>
    </row>
    <row r="35">
      <c r="A35" s="2" t="s">
        <v>14</v>
      </c>
      <c r="B35" s="4">
        <v>46132.0</v>
      </c>
      <c r="C35" s="2" t="s">
        <v>65</v>
      </c>
    </row>
    <row r="36">
      <c r="A36" s="2" t="s">
        <v>14</v>
      </c>
      <c r="B36" s="4">
        <v>46133.0</v>
      </c>
      <c r="C36" s="2" t="s">
        <v>66</v>
      </c>
    </row>
    <row r="37">
      <c r="A37" s="2" t="s">
        <v>16</v>
      </c>
      <c r="B37" s="4">
        <v>46143.0</v>
      </c>
      <c r="C37" s="2" t="s">
        <v>67</v>
      </c>
    </row>
    <row r="38">
      <c r="A38" s="2" t="s">
        <v>16</v>
      </c>
      <c r="B38" s="2" t="s">
        <v>68</v>
      </c>
      <c r="C38" s="2" t="s">
        <v>52</v>
      </c>
    </row>
    <row r="39">
      <c r="A39" s="2" t="s">
        <v>16</v>
      </c>
      <c r="B39" s="2" t="s">
        <v>69</v>
      </c>
      <c r="C39" s="2" t="s">
        <v>49</v>
      </c>
    </row>
    <row r="40">
      <c r="A40" s="2" t="s">
        <v>16</v>
      </c>
      <c r="B40" s="2" t="s">
        <v>69</v>
      </c>
      <c r="C40" s="2" t="s">
        <v>54</v>
      </c>
    </row>
    <row r="41">
      <c r="A41" s="2" t="s">
        <v>16</v>
      </c>
      <c r="B41" s="4">
        <v>46148.0</v>
      </c>
      <c r="C41" s="2" t="s">
        <v>70</v>
      </c>
    </row>
    <row r="42">
      <c r="A42" s="2" t="s">
        <v>16</v>
      </c>
      <c r="B42" s="4">
        <v>46150.0</v>
      </c>
      <c r="C42" s="2" t="s">
        <v>71</v>
      </c>
    </row>
    <row r="43">
      <c r="A43" s="2" t="s">
        <v>16</v>
      </c>
      <c r="B43" s="2" t="s">
        <v>72</v>
      </c>
      <c r="C43" s="2" t="s">
        <v>73</v>
      </c>
    </row>
    <row r="44">
      <c r="A44" s="2" t="s">
        <v>16</v>
      </c>
      <c r="B44" s="4">
        <v>46154.0</v>
      </c>
      <c r="C44" s="2" t="s">
        <v>55</v>
      </c>
    </row>
    <row r="45">
      <c r="A45" s="2" t="s">
        <v>16</v>
      </c>
      <c r="B45" s="4">
        <v>46156.0</v>
      </c>
      <c r="C45" s="2" t="s">
        <v>74</v>
      </c>
    </row>
    <row r="46">
      <c r="A46" s="2" t="s">
        <v>16</v>
      </c>
      <c r="B46" s="4">
        <v>46164.0</v>
      </c>
      <c r="C46" s="2" t="s">
        <v>75</v>
      </c>
    </row>
    <row r="47">
      <c r="A47" s="2" t="s">
        <v>16</v>
      </c>
      <c r="B47" s="4">
        <v>46167.0</v>
      </c>
      <c r="C47" s="2" t="s">
        <v>76</v>
      </c>
    </row>
    <row r="48">
      <c r="A48" s="2" t="s">
        <v>16</v>
      </c>
      <c r="B48" s="4">
        <v>46168.0</v>
      </c>
      <c r="C48" s="2" t="s">
        <v>77</v>
      </c>
    </row>
    <row r="49">
      <c r="A49" s="2" t="s">
        <v>17</v>
      </c>
      <c r="B49" s="2" t="s">
        <v>78</v>
      </c>
      <c r="C49" s="2" t="s">
        <v>52</v>
      </c>
    </row>
    <row r="50">
      <c r="A50" s="2" t="s">
        <v>17</v>
      </c>
      <c r="B50" s="2" t="s">
        <v>79</v>
      </c>
      <c r="C50" s="2" t="s">
        <v>49</v>
      </c>
    </row>
    <row r="51">
      <c r="A51" s="2" t="s">
        <v>17</v>
      </c>
      <c r="B51" s="2" t="s">
        <v>79</v>
      </c>
      <c r="C51" s="2" t="s">
        <v>54</v>
      </c>
    </row>
    <row r="52">
      <c r="A52" s="2" t="s">
        <v>17</v>
      </c>
      <c r="B52" s="4">
        <v>46177.0</v>
      </c>
      <c r="C52" s="2" t="s">
        <v>80</v>
      </c>
    </row>
    <row r="53">
      <c r="A53" s="2" t="s">
        <v>17</v>
      </c>
      <c r="B53" s="4">
        <v>46178.0</v>
      </c>
      <c r="C53" s="2" t="s">
        <v>81</v>
      </c>
    </row>
    <row r="54">
      <c r="A54" s="2" t="s">
        <v>17</v>
      </c>
      <c r="B54" s="4">
        <v>46182.0</v>
      </c>
      <c r="C54" s="2" t="s">
        <v>55</v>
      </c>
    </row>
    <row r="55">
      <c r="A55" s="2" t="s">
        <v>17</v>
      </c>
      <c r="B55" s="4">
        <v>46183.0</v>
      </c>
      <c r="C55" s="2" t="s">
        <v>82</v>
      </c>
    </row>
    <row r="56">
      <c r="A56" s="2" t="s">
        <v>17</v>
      </c>
      <c r="B56" s="4">
        <v>46188.0</v>
      </c>
      <c r="C56" s="2" t="s">
        <v>83</v>
      </c>
    </row>
    <row r="57">
      <c r="A57" s="2" t="s">
        <v>18</v>
      </c>
      <c r="B57" s="2" t="s">
        <v>84</v>
      </c>
      <c r="C57" s="2" t="s">
        <v>52</v>
      </c>
    </row>
    <row r="58">
      <c r="A58" s="2" t="s">
        <v>18</v>
      </c>
      <c r="B58" s="2" t="s">
        <v>85</v>
      </c>
      <c r="C58" s="2" t="s">
        <v>49</v>
      </c>
    </row>
    <row r="59">
      <c r="A59" s="2" t="s">
        <v>18</v>
      </c>
      <c r="B59" s="2" t="s">
        <v>85</v>
      </c>
      <c r="C59" s="2" t="s">
        <v>54</v>
      </c>
    </row>
    <row r="60">
      <c r="A60" s="2" t="s">
        <v>18</v>
      </c>
      <c r="B60" s="4">
        <v>46210.0</v>
      </c>
      <c r="C60" s="2" t="s">
        <v>55</v>
      </c>
    </row>
    <row r="61">
      <c r="A61" s="2" t="s">
        <v>18</v>
      </c>
      <c r="B61" s="2" t="s">
        <v>86</v>
      </c>
      <c r="C61" s="2" t="s">
        <v>87</v>
      </c>
    </row>
    <row r="62">
      <c r="A62" s="2" t="s">
        <v>18</v>
      </c>
      <c r="B62" s="4">
        <v>46227.0</v>
      </c>
      <c r="C62" s="2" t="s">
        <v>65</v>
      </c>
    </row>
    <row r="63">
      <c r="A63" s="2" t="s">
        <v>18</v>
      </c>
      <c r="B63" s="2" t="s">
        <v>88</v>
      </c>
      <c r="C63" s="2" t="s">
        <v>89</v>
      </c>
    </row>
    <row r="64">
      <c r="A64" s="2" t="s">
        <v>19</v>
      </c>
      <c r="B64" s="2" t="s">
        <v>90</v>
      </c>
      <c r="C64" s="2" t="s">
        <v>52</v>
      </c>
    </row>
    <row r="65">
      <c r="A65" s="2" t="s">
        <v>19</v>
      </c>
      <c r="B65" s="2" t="s">
        <v>91</v>
      </c>
      <c r="C65" s="2" t="s">
        <v>49</v>
      </c>
    </row>
    <row r="66">
      <c r="A66" s="2" t="s">
        <v>19</v>
      </c>
      <c r="B66" s="2" t="s">
        <v>91</v>
      </c>
      <c r="C66" s="2" t="s">
        <v>54</v>
      </c>
    </row>
    <row r="67">
      <c r="A67" s="2" t="s">
        <v>19</v>
      </c>
      <c r="B67" s="4">
        <v>46245.0</v>
      </c>
      <c r="C67" s="2" t="s">
        <v>55</v>
      </c>
    </row>
    <row r="68">
      <c r="A68" s="2" t="s">
        <v>19</v>
      </c>
      <c r="B68" s="4">
        <v>46246.0</v>
      </c>
      <c r="C68" s="2" t="s">
        <v>70</v>
      </c>
    </row>
    <row r="69">
      <c r="A69" s="2" t="s">
        <v>19</v>
      </c>
      <c r="B69" s="2" t="s">
        <v>92</v>
      </c>
      <c r="C69" s="2" t="s">
        <v>93</v>
      </c>
    </row>
    <row r="70">
      <c r="A70" s="2" t="s">
        <v>22</v>
      </c>
      <c r="B70" s="2" t="s">
        <v>94</v>
      </c>
      <c r="C70" s="2" t="s">
        <v>49</v>
      </c>
    </row>
    <row r="71">
      <c r="A71" s="2" t="s">
        <v>22</v>
      </c>
      <c r="B71" s="2" t="s">
        <v>94</v>
      </c>
      <c r="C71" s="2" t="s">
        <v>54</v>
      </c>
    </row>
    <row r="72">
      <c r="A72" s="2" t="s">
        <v>22</v>
      </c>
      <c r="B72" s="4">
        <v>46269.0</v>
      </c>
      <c r="C72" s="2" t="s">
        <v>95</v>
      </c>
    </row>
    <row r="73">
      <c r="A73" s="2" t="s">
        <v>22</v>
      </c>
      <c r="B73" s="4">
        <v>46272.0</v>
      </c>
      <c r="C73" s="2" t="s">
        <v>96</v>
      </c>
    </row>
    <row r="74">
      <c r="A74" s="2" t="s">
        <v>22</v>
      </c>
      <c r="B74" s="4">
        <v>46273.0</v>
      </c>
      <c r="C74" s="2" t="s">
        <v>97</v>
      </c>
    </row>
    <row r="75">
      <c r="A75" s="2" t="s">
        <v>22</v>
      </c>
      <c r="B75" s="4">
        <v>46274.0</v>
      </c>
      <c r="C75" s="2" t="s">
        <v>98</v>
      </c>
    </row>
    <row r="76">
      <c r="A76" s="2" t="s">
        <v>22</v>
      </c>
      <c r="B76" s="2" t="s">
        <v>99</v>
      </c>
      <c r="C76" s="2" t="s">
        <v>100</v>
      </c>
    </row>
    <row r="77">
      <c r="A77" s="2" t="s">
        <v>22</v>
      </c>
      <c r="B77" s="4">
        <v>46276.0</v>
      </c>
      <c r="C77" s="2" t="s">
        <v>81</v>
      </c>
    </row>
    <row r="78">
      <c r="A78" s="2" t="s">
        <v>22</v>
      </c>
      <c r="B78" s="4">
        <v>46280.0</v>
      </c>
      <c r="C78" s="2" t="s">
        <v>55</v>
      </c>
    </row>
    <row r="79">
      <c r="A79" s="2" t="s">
        <v>24</v>
      </c>
      <c r="B79" s="2" t="s">
        <v>101</v>
      </c>
      <c r="C79" s="2" t="s">
        <v>100</v>
      </c>
    </row>
    <row r="80">
      <c r="A80" s="2" t="s">
        <v>24</v>
      </c>
      <c r="B80" s="2" t="s">
        <v>102</v>
      </c>
      <c r="C80" s="2" t="s">
        <v>49</v>
      </c>
    </row>
    <row r="81">
      <c r="A81" s="2" t="s">
        <v>24</v>
      </c>
      <c r="B81" s="2" t="s">
        <v>102</v>
      </c>
      <c r="C81" s="2" t="s">
        <v>54</v>
      </c>
    </row>
    <row r="82">
      <c r="A82" s="2" t="s">
        <v>24</v>
      </c>
      <c r="B82" s="4">
        <v>46303.0</v>
      </c>
      <c r="C82" s="2" t="s">
        <v>103</v>
      </c>
    </row>
    <row r="83">
      <c r="A83" s="2" t="s">
        <v>24</v>
      </c>
      <c r="B83" s="5">
        <v>46307.0</v>
      </c>
      <c r="C83" s="2" t="s">
        <v>104</v>
      </c>
    </row>
    <row r="84">
      <c r="A84" s="2" t="s">
        <v>24</v>
      </c>
      <c r="B84" s="5">
        <v>46308.0</v>
      </c>
      <c r="C84" s="2" t="s">
        <v>105</v>
      </c>
    </row>
    <row r="85">
      <c r="A85" s="2" t="s">
        <v>24</v>
      </c>
      <c r="B85" s="5">
        <v>46315.0</v>
      </c>
      <c r="C85" s="2" t="s">
        <v>55</v>
      </c>
    </row>
    <row r="86">
      <c r="A86" s="2" t="s">
        <v>24</v>
      </c>
      <c r="B86" s="2" t="s">
        <v>106</v>
      </c>
      <c r="C86" s="2" t="s">
        <v>107</v>
      </c>
    </row>
    <row r="87">
      <c r="A87" s="2" t="s">
        <v>24</v>
      </c>
      <c r="B87" s="5">
        <v>46318.0</v>
      </c>
      <c r="C87" s="2" t="s">
        <v>65</v>
      </c>
    </row>
    <row r="88">
      <c r="A88" s="2" t="s">
        <v>24</v>
      </c>
      <c r="B88" s="5">
        <v>46323.0</v>
      </c>
      <c r="C88" s="2" t="s">
        <v>108</v>
      </c>
    </row>
    <row r="89">
      <c r="A89" s="2" t="s">
        <v>27</v>
      </c>
      <c r="B89" s="4">
        <v>46328.0</v>
      </c>
      <c r="C89" s="2" t="s">
        <v>109</v>
      </c>
    </row>
    <row r="90">
      <c r="A90" s="2" t="s">
        <v>27</v>
      </c>
      <c r="B90" s="2" t="s">
        <v>110</v>
      </c>
      <c r="C90" s="2" t="s">
        <v>49</v>
      </c>
    </row>
    <row r="91">
      <c r="A91" s="2" t="s">
        <v>27</v>
      </c>
      <c r="B91" s="2" t="s">
        <v>110</v>
      </c>
      <c r="C91" s="2" t="s">
        <v>54</v>
      </c>
    </row>
    <row r="92">
      <c r="A92" s="2" t="s">
        <v>27</v>
      </c>
      <c r="B92" s="2" t="s">
        <v>111</v>
      </c>
      <c r="C92" s="2" t="s">
        <v>100</v>
      </c>
    </row>
    <row r="93">
      <c r="A93" s="2" t="s">
        <v>27</v>
      </c>
      <c r="B93" s="5">
        <v>46336.0</v>
      </c>
      <c r="C93" s="2" t="s">
        <v>55</v>
      </c>
    </row>
    <row r="94">
      <c r="A94" s="2" t="s">
        <v>27</v>
      </c>
      <c r="B94" s="5">
        <v>46337.0</v>
      </c>
      <c r="C94" s="2" t="s">
        <v>70</v>
      </c>
    </row>
    <row r="95">
      <c r="A95" s="2" t="s">
        <v>27</v>
      </c>
      <c r="B95" s="2" t="s">
        <v>112</v>
      </c>
      <c r="C95" s="2" t="s">
        <v>113</v>
      </c>
    </row>
    <row r="96">
      <c r="A96" s="2" t="s">
        <v>27</v>
      </c>
      <c r="B96" s="5">
        <v>46346.0</v>
      </c>
      <c r="C96" s="2" t="s">
        <v>114</v>
      </c>
    </row>
    <row r="97">
      <c r="A97" s="2" t="s">
        <v>28</v>
      </c>
      <c r="B97" s="4">
        <v>46357.0</v>
      </c>
      <c r="C97" s="2" t="s">
        <v>49</v>
      </c>
    </row>
    <row r="98">
      <c r="A98" s="2" t="s">
        <v>28</v>
      </c>
      <c r="B98" s="4">
        <v>46357.0</v>
      </c>
      <c r="C98" s="2" t="s">
        <v>54</v>
      </c>
    </row>
    <row r="99">
      <c r="A99" s="2" t="s">
        <v>28</v>
      </c>
      <c r="B99" s="4">
        <v>46360.0</v>
      </c>
      <c r="C99" s="2" t="s">
        <v>115</v>
      </c>
    </row>
    <row r="100">
      <c r="A100" s="2" t="s">
        <v>28</v>
      </c>
      <c r="B100" s="4">
        <v>46363.0</v>
      </c>
      <c r="C100" s="2" t="s">
        <v>116</v>
      </c>
    </row>
    <row r="101">
      <c r="A101" s="2" t="s">
        <v>28</v>
      </c>
      <c r="B101" s="4">
        <v>46364.0</v>
      </c>
      <c r="C101" s="2" t="s">
        <v>55</v>
      </c>
    </row>
    <row r="102">
      <c r="A102" s="2" t="s">
        <v>28</v>
      </c>
      <c r="B102" s="5">
        <v>46371.0</v>
      </c>
      <c r="C102" s="2" t="s">
        <v>117</v>
      </c>
    </row>
    <row r="103">
      <c r="A103" s="2" t="s">
        <v>28</v>
      </c>
      <c r="B103" s="2" t="s">
        <v>118</v>
      </c>
      <c r="C103" s="2" t="s">
        <v>119</v>
      </c>
    </row>
    <row r="104">
      <c r="A104" s="2" t="s">
        <v>28</v>
      </c>
      <c r="B104" s="5">
        <v>46373.0</v>
      </c>
      <c r="C104" s="2" t="s">
        <v>120</v>
      </c>
    </row>
    <row r="105">
      <c r="A105" s="2" t="s">
        <v>28</v>
      </c>
      <c r="B105" s="5">
        <v>46374.0</v>
      </c>
      <c r="C105" s="2" t="s">
        <v>121</v>
      </c>
    </row>
    <row r="106">
      <c r="A106" s="2" t="s">
        <v>28</v>
      </c>
      <c r="B106" s="5">
        <v>46377.0</v>
      </c>
      <c r="C106" s="2" t="s">
        <v>122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0.75"/>
    <col customWidth="1" min="3" max="3" width="11.88"/>
  </cols>
  <sheetData>
    <row r="1">
      <c r="A1" s="1" t="s">
        <v>0</v>
      </c>
      <c r="B1" s="1" t="s">
        <v>2</v>
      </c>
      <c r="C1" s="1" t="s">
        <v>3</v>
      </c>
    </row>
    <row r="2">
      <c r="A2" s="2" t="s">
        <v>4</v>
      </c>
      <c r="B2" s="3">
        <v>0.0</v>
      </c>
      <c r="C2" s="3">
        <v>0.0</v>
      </c>
    </row>
    <row r="3">
      <c r="A3" s="2" t="s">
        <v>9</v>
      </c>
      <c r="B3" s="3">
        <v>11.0</v>
      </c>
      <c r="C3" s="3">
        <v>44.0</v>
      </c>
    </row>
    <row r="4">
      <c r="A4" s="2" t="s">
        <v>12</v>
      </c>
      <c r="B4" s="3">
        <v>22.0</v>
      </c>
      <c r="C4" s="3">
        <v>88.0</v>
      </c>
    </row>
    <row r="5">
      <c r="A5" s="2" t="s">
        <v>14</v>
      </c>
      <c r="B5" s="3">
        <v>20.0</v>
      </c>
      <c r="C5" s="3">
        <v>80.0</v>
      </c>
    </row>
    <row r="6">
      <c r="A6" s="2" t="s">
        <v>16</v>
      </c>
      <c r="B6" s="3">
        <v>19.0</v>
      </c>
      <c r="C6" s="3">
        <v>76.0</v>
      </c>
    </row>
    <row r="7">
      <c r="A7" s="2" t="s">
        <v>17</v>
      </c>
      <c r="B7" s="3">
        <v>20.0</v>
      </c>
      <c r="C7" s="3">
        <v>80.0</v>
      </c>
    </row>
    <row r="8">
      <c r="A8" s="2" t="s">
        <v>18</v>
      </c>
      <c r="B8" s="3">
        <v>18.0</v>
      </c>
      <c r="C8" s="3">
        <v>72.0</v>
      </c>
    </row>
    <row r="9">
      <c r="A9" s="2" t="s">
        <v>19</v>
      </c>
      <c r="B9" s="3">
        <v>21.0</v>
      </c>
      <c r="C9" s="3">
        <v>84.0</v>
      </c>
    </row>
    <row r="10">
      <c r="A10" s="2" t="s">
        <v>22</v>
      </c>
      <c r="B10" s="3">
        <v>20.0</v>
      </c>
      <c r="C10" s="3">
        <v>80.0</v>
      </c>
    </row>
    <row r="11">
      <c r="A11" s="2" t="s">
        <v>24</v>
      </c>
      <c r="B11" s="3">
        <v>19.0</v>
      </c>
      <c r="C11" s="3">
        <v>76.0</v>
      </c>
    </row>
    <row r="12">
      <c r="A12" s="2" t="s">
        <v>27</v>
      </c>
      <c r="B12" s="3">
        <v>19.0</v>
      </c>
      <c r="C12" s="3">
        <v>76.0</v>
      </c>
    </row>
    <row r="13">
      <c r="A13" s="2" t="s">
        <v>28</v>
      </c>
      <c r="B13" s="3">
        <v>11.0</v>
      </c>
      <c r="C13" s="3">
        <v>44.0</v>
      </c>
    </row>
    <row r="14">
      <c r="A14" s="2" t="s">
        <v>31</v>
      </c>
      <c r="B14" s="6">
        <f t="shared" ref="B14:C14" si="1">SUM(B2:B13)</f>
        <v>200</v>
      </c>
      <c r="C14" s="6">
        <f t="shared" si="1"/>
        <v>800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1.88"/>
    <col customWidth="1" min="3" max="3" width="14.13"/>
    <col customWidth="1" min="4" max="4" width="18.38"/>
    <col customWidth="1" min="5" max="5" width="8.88"/>
    <col customWidth="1" min="6" max="6" width="10.13"/>
  </cols>
  <sheetData>
    <row r="1">
      <c r="A1" s="1" t="s">
        <v>1</v>
      </c>
      <c r="B1" s="1" t="s">
        <v>7</v>
      </c>
      <c r="C1" s="1" t="s">
        <v>8</v>
      </c>
      <c r="D1" s="1" t="s">
        <v>10</v>
      </c>
      <c r="E1" s="1" t="s">
        <v>11</v>
      </c>
      <c r="F1" s="1" t="s">
        <v>13</v>
      </c>
    </row>
    <row r="2">
      <c r="A2" s="2" t="s">
        <v>15</v>
      </c>
      <c r="B2" s="4">
        <v>46064.0</v>
      </c>
      <c r="C2" s="4">
        <v>46164.0</v>
      </c>
      <c r="D2" s="2" t="s">
        <v>21</v>
      </c>
      <c r="E2" s="3">
        <v>68.0</v>
      </c>
      <c r="F2" s="3">
        <v>272.0</v>
      </c>
    </row>
    <row r="3">
      <c r="A3" s="2" t="s">
        <v>26</v>
      </c>
      <c r="B3" s="4">
        <v>46168.0</v>
      </c>
      <c r="C3" s="4">
        <v>46269.0</v>
      </c>
      <c r="D3" s="2" t="s">
        <v>29</v>
      </c>
      <c r="E3" s="3">
        <v>67.0</v>
      </c>
      <c r="F3" s="3">
        <v>268.0</v>
      </c>
    </row>
    <row r="4">
      <c r="A4" s="2" t="s">
        <v>32</v>
      </c>
      <c r="B4" s="4">
        <v>46274.0</v>
      </c>
      <c r="C4" s="5">
        <v>46371.0</v>
      </c>
      <c r="D4" s="2" t="s">
        <v>36</v>
      </c>
      <c r="E4" s="3">
        <v>65.0</v>
      </c>
      <c r="F4" s="3">
        <v>260.0</v>
      </c>
    </row>
    <row r="5">
      <c r="A5" s="2" t="s">
        <v>31</v>
      </c>
      <c r="B5" s="6"/>
      <c r="C5" s="6"/>
      <c r="D5" s="6"/>
      <c r="E5" s="6">
        <f t="shared" ref="E5:F5" si="1">SUM(E2:E4)</f>
        <v>200</v>
      </c>
      <c r="F5" s="6">
        <f t="shared" si="1"/>
        <v>800</v>
      </c>
    </row>
  </sheetData>
  <drawing r:id="rId1"/>
  <tableParts count="1">
    <tablePart r:id="rId3"/>
  </tableParts>
</worksheet>
</file>